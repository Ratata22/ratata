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<sst xmlns="http://schemas.openxmlformats.org/spreadsheetml/2006/main" count="10" uniqueCount="9">
  <si>
    <t>Reajuste Salarial</t>
  </si>
  <si>
    <t>Porcentagem Da Minha Reserva</t>
  </si>
  <si>
    <t>Rendimento</t>
  </si>
  <si>
    <t>Ano</t>
  </si>
  <si>
    <t>Idade</t>
  </si>
  <si>
    <t>Salário</t>
  </si>
  <si>
    <t>Reserva Anual</t>
  </si>
  <si>
    <t>Valor Inicial</t>
  </si>
  <si>
    <t>Valor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</si>
</sst>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Final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'Página1'!$G$4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'Página1'!$G$5:$G$14</c:f>
              <c:numCache/>
            </c:numRef>
          </c:val>
          <c:smooth val="0"/>
        </c:ser>
        <c:axId val="1234842276"/>
        <c:axId val="877589379"/>
      </c:lineChart>
      <c:catAx>
        <c:axId val="1234842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589379"/>
      </c:catAx>
      <c:valAx>
        <c:axId val="877589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Final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48422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2</xdr:row>
      <xdr:rowOff>180975</xdr:rowOff>
    </xdr:from>
    <xdr:ext cx="5715000" cy="22479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</cols>
  <sheetData>
    <row r="1">
      <c r="B1" s="1" t="s">
        <v>0</v>
      </c>
      <c r="C1" s="2">
        <v>0.05</v>
      </c>
    </row>
    <row r="2">
      <c r="B2" s="1" t="s">
        <v>1</v>
      </c>
      <c r="C2" s="2">
        <v>0.1</v>
      </c>
    </row>
    <row r="3">
      <c r="B3" s="3" t="s">
        <v>2</v>
      </c>
      <c r="C3" s="2">
        <v>0.01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2</v>
      </c>
      <c r="G4" s="4" t="s">
        <v>8</v>
      </c>
    </row>
    <row r="5">
      <c r="A5" s="5">
        <v>2026.0</v>
      </c>
      <c r="B5" s="5">
        <v>18.0</v>
      </c>
      <c r="C5" s="6">
        <v>600.0</v>
      </c>
      <c r="D5" s="7">
        <f t="shared" ref="D5:D14" si="1">$C$2*12*C5</f>
        <v>720</v>
      </c>
      <c r="E5" s="6">
        <v>543.54</v>
      </c>
      <c r="F5" s="7">
        <f t="shared" ref="F5:F14" si="2">$C$3*E5</f>
        <v>5.4354</v>
      </c>
      <c r="G5" s="7">
        <f t="shared" ref="G5:G14" si="3">D5+E5+F5</f>
        <v>1268.9754</v>
      </c>
    </row>
    <row r="6">
      <c r="A6" s="5">
        <v>2027.0</v>
      </c>
      <c r="B6" s="5">
        <v>19.0</v>
      </c>
      <c r="C6" s="7">
        <f t="shared" ref="C6:C14" si="4">C5+$C$1*C5</f>
        <v>630</v>
      </c>
      <c r="D6" s="7">
        <f t="shared" si="1"/>
        <v>756</v>
      </c>
      <c r="E6" s="7">
        <f t="shared" ref="E6:E14" si="5">G5</f>
        <v>1268.9754</v>
      </c>
      <c r="F6" s="7">
        <f t="shared" si="2"/>
        <v>12.689754</v>
      </c>
      <c r="G6" s="7">
        <f t="shared" si="3"/>
        <v>2037.665154</v>
      </c>
    </row>
    <row r="7">
      <c r="A7" s="5">
        <v>2028.0</v>
      </c>
      <c r="B7" s="5">
        <v>20.0</v>
      </c>
      <c r="C7" s="7">
        <f t="shared" si="4"/>
        <v>661.5</v>
      </c>
      <c r="D7" s="7">
        <f t="shared" si="1"/>
        <v>793.8</v>
      </c>
      <c r="E7" s="7">
        <f t="shared" si="5"/>
        <v>2037.665154</v>
      </c>
      <c r="F7" s="7">
        <f t="shared" si="2"/>
        <v>20.37665154</v>
      </c>
      <c r="G7" s="7">
        <f t="shared" si="3"/>
        <v>2851.841806</v>
      </c>
    </row>
    <row r="8">
      <c r="A8" s="5">
        <v>2029.0</v>
      </c>
      <c r="B8" s="5">
        <v>21.0</v>
      </c>
      <c r="C8" s="7">
        <f t="shared" si="4"/>
        <v>694.575</v>
      </c>
      <c r="D8" s="7">
        <f t="shared" si="1"/>
        <v>833.49</v>
      </c>
      <c r="E8" s="7">
        <f t="shared" si="5"/>
        <v>2851.841806</v>
      </c>
      <c r="F8" s="7">
        <f t="shared" si="2"/>
        <v>28.51841806</v>
      </c>
      <c r="G8" s="7">
        <f t="shared" si="3"/>
        <v>3713.850224</v>
      </c>
    </row>
    <row r="9">
      <c r="A9" s="5">
        <v>2030.0</v>
      </c>
      <c r="B9" s="5">
        <v>22.0</v>
      </c>
      <c r="C9" s="7">
        <f t="shared" si="4"/>
        <v>729.30375</v>
      </c>
      <c r="D9" s="7">
        <f t="shared" si="1"/>
        <v>875.1645</v>
      </c>
      <c r="E9" s="7">
        <f t="shared" si="5"/>
        <v>3713.850224</v>
      </c>
      <c r="F9" s="7">
        <f t="shared" si="2"/>
        <v>37.13850224</v>
      </c>
      <c r="G9" s="7">
        <f t="shared" si="3"/>
        <v>4626.153226</v>
      </c>
    </row>
    <row r="10">
      <c r="A10" s="5">
        <v>2031.0</v>
      </c>
      <c r="B10" s="5">
        <v>23.0</v>
      </c>
      <c r="C10" s="7">
        <f t="shared" si="4"/>
        <v>765.7689375</v>
      </c>
      <c r="D10" s="7">
        <f t="shared" si="1"/>
        <v>918.922725</v>
      </c>
      <c r="E10" s="7">
        <f t="shared" si="5"/>
        <v>4626.153226</v>
      </c>
      <c r="F10" s="7">
        <f t="shared" si="2"/>
        <v>46.26153226</v>
      </c>
      <c r="G10" s="7">
        <f t="shared" si="3"/>
        <v>5591.337483</v>
      </c>
    </row>
    <row r="11">
      <c r="A11" s="5">
        <v>2032.0</v>
      </c>
      <c r="B11" s="5">
        <v>24.0</v>
      </c>
      <c r="C11" s="7">
        <f t="shared" si="4"/>
        <v>804.0573844</v>
      </c>
      <c r="D11" s="7">
        <f t="shared" si="1"/>
        <v>964.8688613</v>
      </c>
      <c r="E11" s="7">
        <f t="shared" si="5"/>
        <v>5591.337483</v>
      </c>
      <c r="F11" s="7">
        <f t="shared" si="2"/>
        <v>55.91337483</v>
      </c>
      <c r="G11" s="7">
        <f t="shared" si="3"/>
        <v>6612.119719</v>
      </c>
    </row>
    <row r="12">
      <c r="A12" s="5">
        <v>2033.0</v>
      </c>
      <c r="B12" s="5">
        <v>25.0</v>
      </c>
      <c r="C12" s="7">
        <f t="shared" si="4"/>
        <v>844.2602536</v>
      </c>
      <c r="D12" s="7">
        <f t="shared" si="1"/>
        <v>1013.112304</v>
      </c>
      <c r="E12" s="7">
        <f t="shared" si="5"/>
        <v>6612.119719</v>
      </c>
      <c r="F12" s="7">
        <f t="shared" si="2"/>
        <v>66.12119719</v>
      </c>
      <c r="G12" s="7">
        <f t="shared" si="3"/>
        <v>7691.353221</v>
      </c>
    </row>
    <row r="13">
      <c r="A13" s="5">
        <v>2034.0</v>
      </c>
      <c r="B13" s="5">
        <v>26.0</v>
      </c>
      <c r="C13" s="7">
        <f t="shared" si="4"/>
        <v>886.4732663</v>
      </c>
      <c r="D13" s="7">
        <f t="shared" si="1"/>
        <v>1063.76792</v>
      </c>
      <c r="E13" s="7">
        <f t="shared" si="5"/>
        <v>7691.353221</v>
      </c>
      <c r="F13" s="7">
        <f t="shared" si="2"/>
        <v>76.91353221</v>
      </c>
      <c r="G13" s="7">
        <f t="shared" si="3"/>
        <v>8832.034672</v>
      </c>
    </row>
    <row r="14">
      <c r="A14" s="5">
        <v>2035.0</v>
      </c>
      <c r="B14" s="5">
        <v>27.0</v>
      </c>
      <c r="C14" s="7">
        <f t="shared" si="4"/>
        <v>930.7969296</v>
      </c>
      <c r="D14" s="7">
        <f t="shared" si="1"/>
        <v>1116.956316</v>
      </c>
      <c r="E14" s="7">
        <f t="shared" si="5"/>
        <v>8832.034672</v>
      </c>
      <c r="F14" s="7">
        <f t="shared" si="2"/>
        <v>88.32034672</v>
      </c>
      <c r="G14" s="7">
        <f t="shared" si="3"/>
        <v>10037.31133</v>
      </c>
    </row>
  </sheetData>
  <drawing r:id="rId1"/>
</worksheet>
</file>